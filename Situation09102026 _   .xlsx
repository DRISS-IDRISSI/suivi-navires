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progdtrc\AppData\Local\Microsoft\Windows\INetCache\Content.Outlook\TOGAVNWK\"/>
    </mc:Choice>
  </mc:AlternateContent>
  <xr:revisionPtr revIDLastSave="0" documentId="13_ncr:1_{D0951E7F-0DBB-4FE1-856F-06F1E306C1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uation" sheetId="1" r:id="rId1"/>
  </sheets>
  <definedNames>
    <definedName name="_xlnm._FilterDatabase" localSheetId="0" hidden="1">situation!$D$1:$D$6</definedName>
    <definedName name="_MailOriginal" localSheetId="0">situation!#REF!</definedName>
    <definedName name="Z_6E32E113_4D7F_4042_8E31_473A0ED915F4_.wvu.Rows" localSheetId="0" hidden="1">situation!#REF!</definedName>
  </definedNames>
  <calcPr calcId="191028"/>
  <customWorkbookViews>
    <customWorkbookView name="secprogdtrc - Affichage personnalisé" guid="{6E32E113-4D7F-4042-8E31-473A0ED915F4}" mergeInterval="0" personalView="1" maximized="1" xWindow="1" yWindow="1" windowWidth="1916" windowHeight="8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X14" i="1"/>
  <c r="X15" i="1"/>
  <c r="X16" i="1"/>
  <c r="V10" i="1"/>
  <c r="U10" i="1"/>
  <c r="S10" i="1"/>
  <c r="S11" i="1"/>
  <c r="V9" i="1"/>
  <c r="U9" i="1"/>
  <c r="S9" i="1"/>
  <c r="Q22" i="1" l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19" i="1"/>
  <c r="Q20" i="1"/>
  <c r="Q21" i="1"/>
  <c r="Q14" i="1"/>
  <c r="Q13" i="1"/>
  <c r="X9" i="1"/>
  <c r="Q11" i="1"/>
  <c r="X11" i="1"/>
  <c r="O8" i="1" l="1"/>
  <c r="L8" i="1"/>
  <c r="Q8" i="1" l="1"/>
  <c r="X8" i="1"/>
  <c r="Q15" i="1"/>
  <c r="Q17" i="1"/>
  <c r="X17" i="1"/>
  <c r="Q12" i="1"/>
  <c r="X12" i="1"/>
  <c r="Q16" i="1"/>
  <c r="Q18" i="1"/>
  <c r="X18" i="1"/>
  <c r="X21" i="1"/>
  <c r="X20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10" i="1"/>
  <c r="Q10" i="1"/>
  <c r="Q9" i="1"/>
</calcChain>
</file>

<file path=xl/sharedStrings.xml><?xml version="1.0" encoding="utf-8"?>
<sst xmlns="http://schemas.openxmlformats.org/spreadsheetml/2006/main" count="164" uniqueCount="92">
  <si>
    <t>Navires</t>
  </si>
  <si>
    <t>Armateur</t>
  </si>
  <si>
    <t>Consignataire</t>
  </si>
  <si>
    <t>long</t>
  </si>
  <si>
    <t>Date et heure prévision d' arrivée en rade</t>
  </si>
  <si>
    <t>Date et heure d'accostage</t>
  </si>
  <si>
    <t>Poste</t>
  </si>
  <si>
    <t>Prévision</t>
  </si>
  <si>
    <t>date</t>
  </si>
  <si>
    <t>heure</t>
  </si>
  <si>
    <t>Date : 22-11-2016</t>
  </si>
  <si>
    <t>modifié le : 22-09-2021</t>
  </si>
  <si>
    <t>GRIMALDI</t>
  </si>
  <si>
    <t>GLOBE MARINE</t>
  </si>
  <si>
    <t>Statut prévision</t>
  </si>
  <si>
    <t>Statut effectif</t>
  </si>
  <si>
    <t xml:space="preserve">Date et heure d'appareillage </t>
  </si>
  <si>
    <t>Programme prévu étre manipulé</t>
  </si>
  <si>
    <t>total tcs prévu manip</t>
  </si>
  <si>
    <t xml:space="preserve">Reste à manipuler </t>
  </si>
  <si>
    <t>total reste à manip</t>
  </si>
  <si>
    <t xml:space="preserve"> Imp     Plein</t>
  </si>
  <si>
    <t>imp vide</t>
  </si>
  <si>
    <t>Exp  Plein</t>
  </si>
  <si>
    <t>Exp  Vide</t>
  </si>
  <si>
    <t xml:space="preserve"> Imp     vide</t>
  </si>
  <si>
    <t>Statut alerte</t>
  </si>
  <si>
    <t>DEB EMBAR</t>
  </si>
  <si>
    <t>MSC GENEVE</t>
  </si>
  <si>
    <t>MSC MAROC</t>
  </si>
  <si>
    <t xml:space="preserve"> </t>
  </si>
  <si>
    <t>ETC</t>
  </si>
  <si>
    <t>XPRESS</t>
  </si>
  <si>
    <t>AGL</t>
  </si>
  <si>
    <t>NOATUM</t>
  </si>
  <si>
    <t xml:space="preserve"> SITUATION NAVIRES PORTE CONTENEURS ET PREVISIONS                   
                  </t>
  </si>
  <si>
    <t xml:space="preserve">MAERSK </t>
  </si>
  <si>
    <t>MAERSK NARMADA</t>
  </si>
  <si>
    <t xml:space="preserve">GRANDE TOGO </t>
  </si>
  <si>
    <t>GRANDE SIERRA LEONE</t>
  </si>
  <si>
    <t>MSC MADISON II</t>
  </si>
  <si>
    <t>MSC MASHA 3</t>
  </si>
  <si>
    <t>X-PRESS SOUSSE</t>
  </si>
  <si>
    <t xml:space="preserve">GRANDE BUENOS AIRES </t>
  </si>
  <si>
    <t xml:space="preserve">GRANDE LUANDA </t>
  </si>
  <si>
    <t>COSCO</t>
  </si>
  <si>
    <t>COSCO MAROC</t>
  </si>
  <si>
    <t>AS CONSTANTINA</t>
  </si>
  <si>
    <t>ARKAS</t>
  </si>
  <si>
    <t>ARKAS MAROC</t>
  </si>
  <si>
    <t xml:space="preserve">MIMMI SCHULTE </t>
  </si>
  <si>
    <t>OOCL</t>
  </si>
  <si>
    <t xml:space="preserve">ATLANTIC GREEN </t>
  </si>
  <si>
    <t>MAERSK NEWARK</t>
  </si>
  <si>
    <t xml:space="preserve">NORA MAERSK </t>
  </si>
  <si>
    <t xml:space="preserve">GRANDE ARGENTINA </t>
  </si>
  <si>
    <t>Accosté</t>
  </si>
  <si>
    <t>AS PETRONIA</t>
  </si>
  <si>
    <t>GH FOEHN</t>
  </si>
  <si>
    <t>HAPAG</t>
  </si>
  <si>
    <t>VERA A</t>
  </si>
  <si>
    <t>145 </t>
  </si>
  <si>
    <t xml:space="preserve">CIELO DI RABAT </t>
  </si>
  <si>
    <t>D'AMICO</t>
  </si>
  <si>
    <t>PACOCEAN</t>
  </si>
  <si>
    <t xml:space="preserve">ECO ZEPHYR </t>
  </si>
  <si>
    <t>148 </t>
  </si>
  <si>
    <t xml:space="preserve">GRANDE GHANA </t>
  </si>
  <si>
    <t xml:space="preserve">GRANDE SENEGAL </t>
  </si>
  <si>
    <t xml:space="preserve">GREAT ANTWERP </t>
  </si>
  <si>
    <t>MSC SARAH V</t>
  </si>
  <si>
    <t>MSC MOSS III</t>
  </si>
  <si>
    <t>MSC YANG R</t>
  </si>
  <si>
    <t>MSC GIADA III</t>
  </si>
  <si>
    <t>TANGER A</t>
  </si>
  <si>
    <t>N° VISITE</t>
  </si>
  <si>
    <t>N° VOYAGE</t>
  </si>
  <si>
    <t xml:space="preserve">N° AVIS </t>
  </si>
  <si>
    <t>ELBWINTER</t>
  </si>
  <si>
    <t>MCI</t>
  </si>
  <si>
    <t xml:space="preserve">GLOBAL CO AGENCY </t>
  </si>
  <si>
    <t>641W/643E</t>
  </si>
  <si>
    <t>637E</t>
  </si>
  <si>
    <t>CASABLANCA A</t>
  </si>
  <si>
    <t>MCS 027</t>
  </si>
  <si>
    <t>26036S</t>
  </si>
  <si>
    <t>TC3</t>
  </si>
  <si>
    <t>26036N</t>
  </si>
  <si>
    <t>116W</t>
  </si>
  <si>
    <t xml:space="preserve">SITUATION DU 09/10/2026  </t>
  </si>
  <si>
    <t>Attente-portuaire</t>
  </si>
  <si>
    <t>Navire 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</si>
</sst>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9" fontId="10" fillId="0" borderId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>
      <alignment vertical="center"/>
    </xf>
    <xf numFmtId="0" fontId="11" fillId="0" borderId="0"/>
  </cellStyleXfs>
  <cellXfs count="64">
    <xf numFmtId="0" fontId="0" fillId="0" borderId="0" xfId="0"/>
    <xf numFmtId="0" fontId="2" fillId="0" borderId="0" xfId="0" applyFont="1"/>
    <xf numFmtId="0" fontId="8" fillId="0" borderId="0" xfId="0" applyFont="1"/>
    <xf numFmtId="0" fontId="5" fillId="2" borderId="6" xfId="0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 wrapText="1"/>
    </xf>
    <xf numFmtId="164" fontId="6" fillId="4" borderId="11" xfId="0" applyNumberFormat="1" applyFont="1" applyFill="1" applyBorder="1" applyAlignment="1">
      <alignment horizontal="center" vertical="center" wrapText="1"/>
    </xf>
    <xf numFmtId="164" fontId="6" fillId="6" borderId="11" xfId="0" applyNumberFormat="1" applyFont="1" applyFill="1" applyBorder="1" applyAlignment="1">
      <alignment horizontal="center" vertical="center" wrapText="1"/>
    </xf>
    <xf numFmtId="164" fontId="6" fillId="10" borderId="11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vertical="center" wrapText="1"/>
    </xf>
    <xf numFmtId="0" fontId="2" fillId="0" borderId="18" xfId="0" applyFont="1" applyBorder="1"/>
    <xf numFmtId="0" fontId="2" fillId="0" borderId="19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64" fontId="6" fillId="10" borderId="1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wrapText="1"/>
    </xf>
    <xf numFmtId="0" fontId="3" fillId="5" borderId="20" xfId="0" applyFont="1" applyFill="1" applyBorder="1" applyAlignment="1">
      <alignment horizont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164" fontId="6" fillId="5" borderId="13" xfId="0" applyNumberFormat="1" applyFont="1" applyFill="1" applyBorder="1" applyAlignment="1">
      <alignment horizontal="center" vertical="center" wrapText="1"/>
    </xf>
    <xf numFmtId="164" fontId="6" fillId="5" borderId="21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9" fontId="5" fillId="2" borderId="14" xfId="1" applyFont="1" applyFill="1" applyBorder="1" applyAlignment="1">
      <alignment horizontal="center" vertical="center" wrapText="1"/>
    </xf>
    <xf numFmtId="9" fontId="5" fillId="2" borderId="15" xfId="1" applyFont="1" applyFill="1" applyBorder="1" applyAlignment="1">
      <alignment horizontal="center" vertical="center" wrapText="1"/>
    </xf>
    <xf numFmtId="9" fontId="5" fillId="2" borderId="16" xfId="1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</cellXfs>
  <cellStyles count="16">
    <cellStyle name="Normal" xfId="0" builtinId="0"/>
    <cellStyle name="Normal 2" xfId="2" xr:uid="{00000000-0005-0000-0000-000001000000}"/>
    <cellStyle name="Normal 2 2" xfId="15" xr:uid="{C59C28EF-8643-422D-884F-86BF6919D9A2}"/>
    <cellStyle name="Normal 3" xfId="4" xr:uid="{00000000-0005-0000-0000-000002000000}"/>
    <cellStyle name="Normal 3 2" xfId="10" xr:uid="{00000000-0005-0000-0000-000003000000}"/>
    <cellStyle name="Normal 4" xfId="5" xr:uid="{00000000-0005-0000-0000-000004000000}"/>
    <cellStyle name="Normal 4 2" xfId="11" xr:uid="{00000000-0005-0000-0000-000005000000}"/>
    <cellStyle name="Normal 5" xfId="6" xr:uid="{00000000-0005-0000-0000-000006000000}"/>
    <cellStyle name="Normal 5 2" xfId="9" xr:uid="{00000000-0005-0000-0000-000007000000}"/>
    <cellStyle name="Normal 6" xfId="7" xr:uid="{00000000-0005-0000-0000-000008000000}"/>
    <cellStyle name="Normal 6 2" xfId="12" xr:uid="{00000000-0005-0000-0000-000009000000}"/>
    <cellStyle name="Normal 7" xfId="8" xr:uid="{00000000-0005-0000-0000-00000A000000}"/>
    <cellStyle name="Normal 7 2" xfId="13" xr:uid="{00000000-0005-0000-0000-00000B000000}"/>
    <cellStyle name="Normal 8" xfId="3" xr:uid="{00000000-0005-0000-0000-00000C000000}"/>
    <cellStyle name="Normal 8 2" xfId="14" xr:uid="{00000000-0005-0000-0000-00000D000000}"/>
    <cellStyle name="Pourcentage" xfId="1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1</xdr:col>
      <xdr:colOff>1183005</xdr:colOff>
      <xdr:row>2</xdr:row>
      <xdr:rowOff>333375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ACDF3DE-8A84-4BA1-A7C2-D0933870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2297429" cy="53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"/>
  <sheetViews>
    <sheetView tabSelected="1" topLeftCell="A2" zoomScaleNormal="100" workbookViewId="0">
      <selection activeCell="X12" sqref="X12:X16"/>
    </sheetView>
  </sheetViews>
  <sheetFormatPr baseColWidth="10" defaultColWidth="10.7109375" defaultRowHeight="15" x14ac:dyDescent="0.25"/>
  <cols>
    <col min="1" max="1" width="16.85546875" customWidth="1"/>
    <col min="2" max="2" width="18.5703125" style="2" customWidth="1"/>
    <col min="3" max="3" width="15.85546875" style="2" customWidth="1"/>
    <col min="4" max="4" width="16.7109375" style="2" customWidth="1"/>
    <col min="5" max="5" width="6" style="2" customWidth="1"/>
    <col min="6" max="6" width="13.7109375" customWidth="1"/>
    <col min="7" max="7" width="14.7109375" customWidth="1"/>
    <col min="8" max="11" width="14" customWidth="1"/>
    <col min="12" max="23" width="6.7109375" customWidth="1"/>
    <col min="24" max="24" width="8.140625" customWidth="1"/>
    <col min="25" max="25" width="12.5703125" customWidth="1"/>
    <col min="26" max="26" width="9.7109375" customWidth="1"/>
    <col min="27" max="28" width="11.42578125" customWidth="1"/>
  </cols>
  <sheetData>
    <row r="1" spans="1:29" s="1" customFormat="1" ht="33.75" hidden="1" customHeight="1" x14ac:dyDescent="0.2">
      <c r="A1" s="37"/>
      <c r="B1" s="23"/>
      <c r="C1" s="39" t="s">
        <v>35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24"/>
      <c r="Z1" s="25"/>
    </row>
    <row r="2" spans="1:29" s="1" customFormat="1" ht="15.75" customHeight="1" x14ac:dyDescent="0.2">
      <c r="A2" s="38"/>
      <c r="B2" s="16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4" t="s">
        <v>10</v>
      </c>
      <c r="Z2" s="45"/>
    </row>
    <row r="3" spans="1:29" s="1" customFormat="1" ht="30.75" customHeight="1" x14ac:dyDescent="0.2">
      <c r="A3" s="38"/>
      <c r="B3" s="16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4" t="s">
        <v>11</v>
      </c>
      <c r="Z3" s="45"/>
    </row>
    <row r="4" spans="1:29" ht="30.75" customHeight="1" x14ac:dyDescent="0.25">
      <c r="A4" s="41" t="s">
        <v>89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/>
    </row>
    <row r="5" spans="1:29" ht="30.75" customHeight="1" x14ac:dyDescent="0.25">
      <c r="A5" s="46"/>
      <c r="B5" s="47"/>
      <c r="C5" s="47"/>
      <c r="D5" s="47"/>
      <c r="E5" s="48"/>
      <c r="F5" s="17" t="s">
        <v>14</v>
      </c>
      <c r="G5" s="18" t="s">
        <v>15</v>
      </c>
      <c r="H5" s="19" t="s">
        <v>26</v>
      </c>
      <c r="I5" s="28"/>
      <c r="J5" s="28"/>
      <c r="K5" s="2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B5" t="s">
        <v>30</v>
      </c>
      <c r="AC5" t="s">
        <v>30</v>
      </c>
    </row>
    <row r="6" spans="1:29" ht="30.75" customHeight="1" thickBot="1" x14ac:dyDescent="0.3">
      <c r="A6" s="53" t="s">
        <v>7</v>
      </c>
      <c r="B6" s="35" t="s">
        <v>0</v>
      </c>
      <c r="C6" s="53" t="s">
        <v>1</v>
      </c>
      <c r="D6" s="53" t="s">
        <v>2</v>
      </c>
      <c r="E6" s="53" t="s">
        <v>3</v>
      </c>
      <c r="F6" s="53" t="s">
        <v>4</v>
      </c>
      <c r="G6" s="53" t="s">
        <v>5</v>
      </c>
      <c r="H6" s="35" t="s">
        <v>16</v>
      </c>
      <c r="I6" s="35" t="s">
        <v>75</v>
      </c>
      <c r="J6" s="35" t="s">
        <v>76</v>
      </c>
      <c r="K6" s="35" t="s">
        <v>77</v>
      </c>
      <c r="L6" s="56" t="s">
        <v>17</v>
      </c>
      <c r="M6" s="57"/>
      <c r="N6" s="57"/>
      <c r="O6" s="57"/>
      <c r="P6" s="58"/>
      <c r="Q6" s="54" t="s">
        <v>18</v>
      </c>
      <c r="R6" s="62" t="s">
        <v>6</v>
      </c>
      <c r="S6" s="59" t="s">
        <v>19</v>
      </c>
      <c r="T6" s="60"/>
      <c r="U6" s="60"/>
      <c r="V6" s="60"/>
      <c r="W6" s="61"/>
      <c r="X6" s="54" t="s">
        <v>20</v>
      </c>
      <c r="Y6" s="51" t="s">
        <v>31</v>
      </c>
      <c r="Z6" s="52"/>
    </row>
    <row r="7" spans="1:29" ht="41.25" customHeight="1" thickBot="1" x14ac:dyDescent="0.3">
      <c r="A7" s="36"/>
      <c r="B7" s="36"/>
      <c r="C7" s="36"/>
      <c r="D7" s="36"/>
      <c r="E7" s="36"/>
      <c r="F7" s="53"/>
      <c r="G7" s="53"/>
      <c r="H7" s="36"/>
      <c r="I7" s="36"/>
      <c r="J7" s="36"/>
      <c r="K7" s="36"/>
      <c r="L7" s="9" t="s">
        <v>21</v>
      </c>
      <c r="M7" s="8" t="s">
        <v>22</v>
      </c>
      <c r="N7" s="10" t="s">
        <v>23</v>
      </c>
      <c r="O7" s="11" t="s">
        <v>24</v>
      </c>
      <c r="P7" s="22" t="s">
        <v>27</v>
      </c>
      <c r="Q7" s="55"/>
      <c r="R7" s="63"/>
      <c r="S7" s="9" t="s">
        <v>21</v>
      </c>
      <c r="T7" s="9" t="s">
        <v>25</v>
      </c>
      <c r="U7" s="12" t="s">
        <v>23</v>
      </c>
      <c r="V7" s="13" t="s">
        <v>24</v>
      </c>
      <c r="W7" s="22" t="s">
        <v>27</v>
      </c>
      <c r="X7" s="55"/>
      <c r="Y7" s="3" t="s">
        <v>8</v>
      </c>
      <c r="Z7" s="3" t="s">
        <v>9</v>
      </c>
    </row>
    <row r="8" spans="1:29" ht="30" customHeight="1" thickBot="1" x14ac:dyDescent="0.3">
      <c r="A8" s="34" t="s">
        <v>91</v>
      </c>
      <c r="B8" s="7" t="s">
        <v>50</v>
      </c>
      <c r="C8" s="6" t="s">
        <v>51</v>
      </c>
      <c r="D8" s="6" t="s">
        <v>34</v>
      </c>
      <c r="E8" s="15">
        <v>189</v>
      </c>
      <c r="F8" s="5">
        <v>46302.527777777781</v>
      </c>
      <c r="G8" s="5">
        <v>46302.579861111109</v>
      </c>
      <c r="H8" s="4"/>
      <c r="I8" s="29">
        <v>202609203</v>
      </c>
      <c r="J8" s="5" t="s">
        <v>82</v>
      </c>
      <c r="K8" s="26">
        <v>201472936</v>
      </c>
      <c r="L8" s="27">
        <f>235+374</f>
        <v>609</v>
      </c>
      <c r="M8" s="15">
        <v>0</v>
      </c>
      <c r="N8" s="27">
        <v>262</v>
      </c>
      <c r="O8" s="27">
        <f>59+62</f>
        <v>121</v>
      </c>
      <c r="P8" s="6">
        <v>0</v>
      </c>
      <c r="Q8" s="6">
        <f>SUM(L8:P8)</f>
        <v>992</v>
      </c>
      <c r="R8" s="14">
        <v>83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15">
        <f>SUM(S8:W8)</f>
        <v>0</v>
      </c>
      <c r="Y8" s="31"/>
      <c r="Z8" s="32"/>
    </row>
    <row r="9" spans="1:29" ht="30" customHeight="1" thickBot="1" x14ac:dyDescent="0.3">
      <c r="A9" s="26" t="s">
        <v>56</v>
      </c>
      <c r="B9" s="7" t="s">
        <v>62</v>
      </c>
      <c r="C9" s="6" t="s">
        <v>63</v>
      </c>
      <c r="D9" s="6" t="s">
        <v>64</v>
      </c>
      <c r="E9" s="15">
        <v>181</v>
      </c>
      <c r="F9" s="5">
        <v>46301.611111111109</v>
      </c>
      <c r="G9" s="5">
        <v>46302.520833333336</v>
      </c>
      <c r="H9" s="4"/>
      <c r="I9" s="29">
        <v>202609268</v>
      </c>
      <c r="J9" s="5" t="s">
        <v>81</v>
      </c>
      <c r="K9" s="26">
        <v>359039</v>
      </c>
      <c r="L9" s="27">
        <v>761</v>
      </c>
      <c r="M9" s="15">
        <v>0</v>
      </c>
      <c r="N9" s="27">
        <v>364</v>
      </c>
      <c r="O9" s="27">
        <v>658</v>
      </c>
      <c r="P9" s="6">
        <v>0</v>
      </c>
      <c r="Q9" s="6">
        <f t="shared" ref="Q9" si="0">SUM(L9:P9)</f>
        <v>1783</v>
      </c>
      <c r="R9" s="15">
        <v>71</v>
      </c>
      <c r="S9" s="6">
        <f>+L9-757</f>
        <v>4</v>
      </c>
      <c r="T9" s="6">
        <v>0</v>
      </c>
      <c r="U9" s="6">
        <f>+N9-322</f>
        <v>42</v>
      </c>
      <c r="V9" s="6">
        <f>+O9-574</f>
        <v>84</v>
      </c>
      <c r="W9" s="6">
        <v>0</v>
      </c>
      <c r="X9" s="15">
        <f t="shared" ref="X9" si="1">SUM(S9:W9)</f>
        <v>130</v>
      </c>
      <c r="Y9" s="31"/>
      <c r="Z9" s="32"/>
    </row>
    <row r="10" spans="1:29" ht="30" customHeight="1" thickBot="1" x14ac:dyDescent="0.3">
      <c r="A10" s="26" t="s">
        <v>56</v>
      </c>
      <c r="B10" s="7" t="s">
        <v>65</v>
      </c>
      <c r="C10" s="6" t="s">
        <v>36</v>
      </c>
      <c r="D10" s="6" t="s">
        <v>33</v>
      </c>
      <c r="E10" s="15" t="s">
        <v>66</v>
      </c>
      <c r="F10" s="5">
        <v>46302.951388888891</v>
      </c>
      <c r="G10" s="5">
        <v>46303.010416666664</v>
      </c>
      <c r="H10" s="4"/>
      <c r="I10" s="29">
        <v>202609147</v>
      </c>
      <c r="J10" s="5" t="s">
        <v>85</v>
      </c>
      <c r="K10" s="26">
        <v>358738</v>
      </c>
      <c r="L10" s="6">
        <v>482</v>
      </c>
      <c r="M10" s="15">
        <v>0</v>
      </c>
      <c r="N10" s="27">
        <v>177</v>
      </c>
      <c r="O10" s="27">
        <v>515</v>
      </c>
      <c r="P10" s="6">
        <v>0</v>
      </c>
      <c r="Q10" s="6">
        <f t="shared" ref="Q10" si="2">SUM(L10:P10)</f>
        <v>1174</v>
      </c>
      <c r="R10" s="14">
        <v>80</v>
      </c>
      <c r="S10" s="6">
        <f>+L10-469</f>
        <v>13</v>
      </c>
      <c r="T10" s="6">
        <v>0</v>
      </c>
      <c r="U10" s="6">
        <f>+N10-102</f>
        <v>75</v>
      </c>
      <c r="V10" s="6">
        <f>+O10-218</f>
        <v>297</v>
      </c>
      <c r="W10" s="6">
        <v>0</v>
      </c>
      <c r="X10" s="15">
        <f t="shared" ref="X10" si="3">SUM(S10:W10)</f>
        <v>385</v>
      </c>
      <c r="Y10" s="31"/>
      <c r="Z10" s="32"/>
    </row>
    <row r="11" spans="1:29" ht="30" customHeight="1" thickBot="1" x14ac:dyDescent="0.3">
      <c r="A11" s="26" t="s">
        <v>56</v>
      </c>
      <c r="B11" s="7" t="s">
        <v>83</v>
      </c>
      <c r="C11" s="6" t="s">
        <v>48</v>
      </c>
      <c r="D11" s="6" t="s">
        <v>49</v>
      </c>
      <c r="E11" s="15">
        <v>170</v>
      </c>
      <c r="F11" s="5">
        <v>46303.481249999997</v>
      </c>
      <c r="G11" s="5">
        <v>46303.527777777781</v>
      </c>
      <c r="H11" s="4"/>
      <c r="I11" s="29">
        <v>202609229</v>
      </c>
      <c r="J11" s="5" t="s">
        <v>84</v>
      </c>
      <c r="K11" s="26">
        <v>358919</v>
      </c>
      <c r="L11" s="6">
        <v>515</v>
      </c>
      <c r="M11" s="15">
        <v>0</v>
      </c>
      <c r="N11" s="6">
        <v>139</v>
      </c>
      <c r="O11" s="6">
        <v>518</v>
      </c>
      <c r="P11" s="6">
        <v>0</v>
      </c>
      <c r="Q11" s="6">
        <f t="shared" ref="Q11:Q36" si="4">SUM(L11:P11)</f>
        <v>1172</v>
      </c>
      <c r="R11" s="15">
        <v>74</v>
      </c>
      <c r="S11" s="6">
        <f>+L11-322</f>
        <v>193</v>
      </c>
      <c r="T11" s="6">
        <v>0</v>
      </c>
      <c r="U11" s="6">
        <v>139</v>
      </c>
      <c r="V11" s="6">
        <v>518</v>
      </c>
      <c r="W11" s="6">
        <v>0</v>
      </c>
      <c r="X11" s="15">
        <f>SUM(S11:W11)</f>
        <v>850</v>
      </c>
      <c r="Y11" s="15"/>
      <c r="Z11" s="15"/>
    </row>
    <row r="12" spans="1:29" ht="30" customHeight="1" thickBot="1" x14ac:dyDescent="0.3">
      <c r="A12" s="33" t="s">
        <v>90</v>
      </c>
      <c r="B12" s="7" t="s">
        <v>47</v>
      </c>
      <c r="C12" s="6" t="s">
        <v>45</v>
      </c>
      <c r="D12" s="6" t="s">
        <v>46</v>
      </c>
      <c r="E12" s="20">
        <v>221</v>
      </c>
      <c r="F12" s="5">
        <v>46303.69027777778</v>
      </c>
      <c r="G12" s="4"/>
      <c r="H12" s="4"/>
      <c r="I12" s="29">
        <v>202609209</v>
      </c>
      <c r="J12" s="5" t="s">
        <v>88</v>
      </c>
      <c r="K12" s="26">
        <v>358892</v>
      </c>
      <c r="L12" s="6">
        <v>537</v>
      </c>
      <c r="M12" s="15">
        <v>0</v>
      </c>
      <c r="N12" s="6">
        <v>36</v>
      </c>
      <c r="O12" s="6">
        <v>527</v>
      </c>
      <c r="P12" s="6">
        <v>0</v>
      </c>
      <c r="Q12" s="6">
        <f t="shared" si="4"/>
        <v>1100</v>
      </c>
      <c r="R12" s="14" t="s">
        <v>86</v>
      </c>
      <c r="S12" s="6"/>
      <c r="T12" s="6"/>
      <c r="U12" s="6"/>
      <c r="V12" s="6"/>
      <c r="W12" s="6"/>
      <c r="X12" s="15">
        <f>SUM(S12:W12)</f>
        <v>0</v>
      </c>
      <c r="Y12" s="15"/>
      <c r="Z12" s="15"/>
    </row>
    <row r="13" spans="1:29" ht="30" customHeight="1" thickBot="1" x14ac:dyDescent="0.3">
      <c r="A13" s="33" t="s">
        <v>90</v>
      </c>
      <c r="B13" s="7" t="s">
        <v>42</v>
      </c>
      <c r="C13" s="6" t="s">
        <v>32</v>
      </c>
      <c r="D13" s="6" t="s">
        <v>33</v>
      </c>
      <c r="E13" s="15">
        <v>134</v>
      </c>
      <c r="F13" s="5">
        <v>46304.263194444444</v>
      </c>
      <c r="G13" s="4"/>
      <c r="H13" s="4"/>
      <c r="I13" s="29">
        <v>202609145</v>
      </c>
      <c r="J13" s="5" t="s">
        <v>87</v>
      </c>
      <c r="K13" s="26">
        <v>358737</v>
      </c>
      <c r="L13" s="27">
        <v>334</v>
      </c>
      <c r="M13" s="15">
        <v>0</v>
      </c>
      <c r="N13" s="6">
        <v>14</v>
      </c>
      <c r="O13" s="6">
        <v>323</v>
      </c>
      <c r="P13" s="6">
        <v>0</v>
      </c>
      <c r="Q13" s="6">
        <f t="shared" si="4"/>
        <v>671</v>
      </c>
      <c r="R13" s="14" t="s">
        <v>86</v>
      </c>
      <c r="S13" s="6"/>
      <c r="T13" s="6"/>
      <c r="U13" s="6"/>
      <c r="V13" s="6"/>
      <c r="W13" s="6"/>
      <c r="X13" s="15">
        <f t="shared" ref="X13:X16" si="5">SUM(S13:W13)</f>
        <v>0</v>
      </c>
      <c r="Y13" s="15"/>
      <c r="Z13" s="15"/>
    </row>
    <row r="14" spans="1:29" ht="30" customHeight="1" thickBot="1" x14ac:dyDescent="0.3">
      <c r="A14" s="21" t="s">
        <v>7</v>
      </c>
      <c r="B14" s="7" t="s">
        <v>74</v>
      </c>
      <c r="C14" s="6" t="s">
        <v>48</v>
      </c>
      <c r="D14" s="6" t="s">
        <v>49</v>
      </c>
      <c r="E14" s="15">
        <v>170</v>
      </c>
      <c r="F14" s="4">
        <v>46304.958333333336</v>
      </c>
      <c r="G14" s="4"/>
      <c r="H14" s="4"/>
      <c r="I14" s="4"/>
      <c r="J14" s="4"/>
      <c r="K14" s="4"/>
      <c r="L14" s="6"/>
      <c r="M14" s="15"/>
      <c r="N14" s="6"/>
      <c r="O14" s="6"/>
      <c r="P14" s="6"/>
      <c r="Q14" s="6">
        <f t="shared" si="4"/>
        <v>0</v>
      </c>
      <c r="R14" s="15"/>
      <c r="S14" s="6"/>
      <c r="T14" s="6"/>
      <c r="U14" s="6"/>
      <c r="V14" s="6"/>
      <c r="W14" s="6"/>
      <c r="X14" s="15">
        <f t="shared" si="5"/>
        <v>0</v>
      </c>
      <c r="Y14" s="15"/>
      <c r="Z14" s="15"/>
    </row>
    <row r="15" spans="1:29" ht="30" customHeight="1" thickBot="1" x14ac:dyDescent="0.3">
      <c r="A15" s="21" t="s">
        <v>7</v>
      </c>
      <c r="B15" s="7" t="s">
        <v>57</v>
      </c>
      <c r="C15" s="6" t="s">
        <v>36</v>
      </c>
      <c r="D15" s="6" t="s">
        <v>34</v>
      </c>
      <c r="E15" s="15">
        <v>210</v>
      </c>
      <c r="F15" s="4">
        <v>46305.291666666664</v>
      </c>
      <c r="G15" s="4"/>
      <c r="H15" s="4"/>
      <c r="I15" s="4"/>
      <c r="J15" s="4"/>
      <c r="K15" s="4"/>
      <c r="L15" s="6">
        <v>410</v>
      </c>
      <c r="M15" s="15">
        <v>0</v>
      </c>
      <c r="N15" s="6">
        <v>353</v>
      </c>
      <c r="O15" s="6">
        <v>215</v>
      </c>
      <c r="P15" s="6">
        <v>0</v>
      </c>
      <c r="Q15" s="6">
        <f t="shared" si="4"/>
        <v>978</v>
      </c>
      <c r="R15" s="15"/>
      <c r="S15" s="6"/>
      <c r="T15" s="6"/>
      <c r="U15" s="6"/>
      <c r="V15" s="6"/>
      <c r="W15" s="6"/>
      <c r="X15" s="15">
        <f t="shared" si="5"/>
        <v>0</v>
      </c>
      <c r="Y15" s="15"/>
      <c r="Z15" s="15"/>
    </row>
    <row r="16" spans="1:29" ht="30" customHeight="1" thickBot="1" x14ac:dyDescent="0.3">
      <c r="A16" s="21" t="s">
        <v>7</v>
      </c>
      <c r="B16" s="7" t="s">
        <v>70</v>
      </c>
      <c r="C16" s="6" t="s">
        <v>28</v>
      </c>
      <c r="D16" s="6" t="s">
        <v>29</v>
      </c>
      <c r="E16" s="15">
        <v>294</v>
      </c>
      <c r="F16" s="4">
        <v>46305.104166666664</v>
      </c>
      <c r="G16" s="4"/>
      <c r="H16" s="4"/>
      <c r="I16" s="4"/>
      <c r="J16" s="4"/>
      <c r="K16" s="4"/>
      <c r="L16" s="6"/>
      <c r="M16" s="15"/>
      <c r="N16" s="6"/>
      <c r="O16" s="6"/>
      <c r="P16" s="6"/>
      <c r="Q16" s="6">
        <f t="shared" si="4"/>
        <v>0</v>
      </c>
      <c r="R16" s="15"/>
      <c r="S16" s="6"/>
      <c r="T16" s="6"/>
      <c r="U16" s="6"/>
      <c r="V16" s="6"/>
      <c r="W16" s="6"/>
      <c r="X16" s="15">
        <f t="shared" si="5"/>
        <v>0</v>
      </c>
      <c r="Y16" s="15"/>
      <c r="Z16" s="15"/>
    </row>
    <row r="17" spans="1:26" ht="30" customHeight="1" thickBot="1" x14ac:dyDescent="0.3">
      <c r="A17" s="21" t="s">
        <v>7</v>
      </c>
      <c r="B17" s="7" t="s">
        <v>41</v>
      </c>
      <c r="C17" s="6" t="s">
        <v>28</v>
      </c>
      <c r="D17" s="6" t="s">
        <v>29</v>
      </c>
      <c r="E17" s="15">
        <v>184</v>
      </c>
      <c r="F17" s="4">
        <v>46306.208333333336</v>
      </c>
      <c r="G17" s="4"/>
      <c r="H17" s="4"/>
      <c r="I17" s="4"/>
      <c r="J17" s="4"/>
      <c r="K17" s="4"/>
      <c r="L17" s="6"/>
      <c r="M17" s="15"/>
      <c r="N17" s="6"/>
      <c r="O17" s="6"/>
      <c r="P17" s="6"/>
      <c r="Q17" s="6">
        <f t="shared" si="4"/>
        <v>0</v>
      </c>
      <c r="R17" s="15"/>
      <c r="S17" s="6"/>
      <c r="T17" s="6"/>
      <c r="U17" s="6"/>
      <c r="V17" s="6"/>
      <c r="W17" s="6"/>
      <c r="X17" s="15">
        <f>SUM(S17:W17)</f>
        <v>0</v>
      </c>
      <c r="Y17" s="15"/>
      <c r="Z17" s="15"/>
    </row>
    <row r="18" spans="1:26" ht="30" customHeight="1" thickBot="1" x14ac:dyDescent="0.3">
      <c r="A18" s="21" t="s">
        <v>7</v>
      </c>
      <c r="B18" s="7" t="s">
        <v>60</v>
      </c>
      <c r="C18" s="6" t="s">
        <v>48</v>
      </c>
      <c r="D18" s="6" t="s">
        <v>49</v>
      </c>
      <c r="E18" s="15" t="s">
        <v>61</v>
      </c>
      <c r="F18" s="4">
        <v>46306.25</v>
      </c>
      <c r="G18" s="4"/>
      <c r="H18" s="4"/>
      <c r="I18" s="4"/>
      <c r="J18" s="4"/>
      <c r="K18" s="4"/>
      <c r="L18" s="6"/>
      <c r="M18" s="15"/>
      <c r="N18" s="6"/>
      <c r="O18" s="6"/>
      <c r="P18" s="6"/>
      <c r="Q18" s="6">
        <f t="shared" si="4"/>
        <v>0</v>
      </c>
      <c r="R18" s="15"/>
      <c r="S18" s="6"/>
      <c r="T18" s="6"/>
      <c r="U18" s="6"/>
      <c r="V18" s="6"/>
      <c r="W18" s="6"/>
      <c r="X18" s="15">
        <f>SUM(S18:W18)</f>
        <v>0</v>
      </c>
      <c r="Y18" s="15"/>
      <c r="Z18" s="15"/>
    </row>
    <row r="19" spans="1:26" ht="30" customHeight="1" thickBot="1" x14ac:dyDescent="0.3">
      <c r="A19" s="21" t="s">
        <v>7</v>
      </c>
      <c r="B19" s="7" t="s">
        <v>78</v>
      </c>
      <c r="C19" s="6" t="s">
        <v>79</v>
      </c>
      <c r="D19" s="6" t="s">
        <v>80</v>
      </c>
      <c r="E19" s="15">
        <v>151</v>
      </c>
      <c r="F19" s="4">
        <v>46306.25</v>
      </c>
      <c r="G19" s="4"/>
      <c r="H19" s="4"/>
      <c r="I19" s="4"/>
      <c r="J19" s="4"/>
      <c r="K19" s="4"/>
      <c r="L19" s="6"/>
      <c r="M19" s="15"/>
      <c r="N19" s="6"/>
      <c r="O19" s="6"/>
      <c r="P19" s="6"/>
      <c r="Q19" s="6">
        <f t="shared" si="4"/>
        <v>0</v>
      </c>
      <c r="R19" s="15"/>
      <c r="S19" s="6"/>
      <c r="T19" s="6"/>
      <c r="U19" s="6"/>
      <c r="V19" s="6"/>
      <c r="W19" s="6"/>
      <c r="X19" s="15"/>
      <c r="Y19" s="15"/>
      <c r="Z19" s="15"/>
    </row>
    <row r="20" spans="1:26" ht="30" customHeight="1" thickBot="1" x14ac:dyDescent="0.3">
      <c r="A20" s="21" t="s">
        <v>7</v>
      </c>
      <c r="B20" s="7" t="s">
        <v>71</v>
      </c>
      <c r="C20" s="6" t="s">
        <v>28</v>
      </c>
      <c r="D20" s="6" t="s">
        <v>29</v>
      </c>
      <c r="E20" s="20">
        <v>212</v>
      </c>
      <c r="F20" s="4">
        <v>46306.645833333336</v>
      </c>
      <c r="G20" s="4"/>
      <c r="H20" s="4"/>
      <c r="I20" s="4"/>
      <c r="J20" s="4"/>
      <c r="K20" s="4"/>
      <c r="L20" s="6"/>
      <c r="M20" s="15"/>
      <c r="N20" s="6"/>
      <c r="O20" s="6"/>
      <c r="P20" s="6"/>
      <c r="Q20" s="6">
        <f t="shared" si="4"/>
        <v>0</v>
      </c>
      <c r="R20" s="15"/>
      <c r="S20" s="6"/>
      <c r="T20" s="6"/>
      <c r="U20" s="6"/>
      <c r="V20" s="6"/>
      <c r="W20" s="6"/>
      <c r="X20" s="15">
        <f t="shared" ref="X20:X36" si="6">SUM(S20:W20)</f>
        <v>0</v>
      </c>
      <c r="Y20" s="15"/>
      <c r="Z20" s="15"/>
    </row>
    <row r="21" spans="1:26" ht="30" customHeight="1" thickBot="1" x14ac:dyDescent="0.3">
      <c r="A21" s="21" t="s">
        <v>7</v>
      </c>
      <c r="B21" s="30" t="s">
        <v>58</v>
      </c>
      <c r="C21" s="6" t="s">
        <v>59</v>
      </c>
      <c r="D21" s="6" t="s">
        <v>49</v>
      </c>
      <c r="E21" s="20">
        <v>215</v>
      </c>
      <c r="F21" s="4">
        <v>46306.916666666664</v>
      </c>
      <c r="G21" s="4"/>
      <c r="H21" s="4"/>
      <c r="I21" s="4"/>
      <c r="J21" s="4"/>
      <c r="K21" s="4"/>
      <c r="L21" s="6"/>
      <c r="M21" s="15"/>
      <c r="N21" s="6"/>
      <c r="O21" s="6"/>
      <c r="P21" s="6"/>
      <c r="Q21" s="6">
        <f t="shared" si="4"/>
        <v>0</v>
      </c>
      <c r="R21" s="15"/>
      <c r="S21" s="6"/>
      <c r="T21" s="6"/>
      <c r="U21" s="6"/>
      <c r="V21" s="6"/>
      <c r="W21" s="6"/>
      <c r="X21" s="15">
        <f t="shared" si="6"/>
        <v>0</v>
      </c>
      <c r="Y21" s="15"/>
      <c r="Z21" s="15"/>
    </row>
    <row r="22" spans="1:26" ht="30" customHeight="1" thickBot="1" x14ac:dyDescent="0.3">
      <c r="A22" s="21" t="s">
        <v>7</v>
      </c>
      <c r="B22" s="7" t="s">
        <v>40</v>
      </c>
      <c r="C22" s="6" t="s">
        <v>28</v>
      </c>
      <c r="D22" s="6" t="s">
        <v>29</v>
      </c>
      <c r="E22" s="15">
        <v>193</v>
      </c>
      <c r="F22" s="4">
        <v>46307.604166666664</v>
      </c>
      <c r="G22" s="4"/>
      <c r="H22" s="4"/>
      <c r="I22" s="4"/>
      <c r="J22" s="4"/>
      <c r="K22" s="4"/>
      <c r="L22" s="6"/>
      <c r="M22" s="15"/>
      <c r="N22" s="6"/>
      <c r="O22" s="6"/>
      <c r="P22" s="6">
        <v>0</v>
      </c>
      <c r="Q22" s="6">
        <f t="shared" si="4"/>
        <v>0</v>
      </c>
      <c r="R22" s="15"/>
      <c r="S22" s="6"/>
      <c r="T22" s="6"/>
      <c r="U22" s="6"/>
      <c r="V22" s="6"/>
      <c r="W22" s="6"/>
      <c r="X22" s="15">
        <f t="shared" si="6"/>
        <v>0</v>
      </c>
      <c r="Y22" s="15"/>
      <c r="Z22" s="15"/>
    </row>
    <row r="23" spans="1:26" ht="30" customHeight="1" thickBot="1" x14ac:dyDescent="0.3">
      <c r="A23" s="21" t="s">
        <v>7</v>
      </c>
      <c r="B23" s="7" t="s">
        <v>38</v>
      </c>
      <c r="C23" s="6" t="s">
        <v>12</v>
      </c>
      <c r="D23" s="6" t="s">
        <v>13</v>
      </c>
      <c r="E23" s="20">
        <v>211</v>
      </c>
      <c r="F23" s="4">
        <v>46309.25</v>
      </c>
      <c r="G23" s="4"/>
      <c r="H23" s="4"/>
      <c r="I23" s="4"/>
      <c r="J23" s="4"/>
      <c r="K23" s="4"/>
      <c r="L23" s="6"/>
      <c r="M23" s="15"/>
      <c r="N23" s="6"/>
      <c r="O23" s="6"/>
      <c r="P23" s="6">
        <v>0</v>
      </c>
      <c r="Q23" s="6">
        <f t="shared" si="4"/>
        <v>0</v>
      </c>
      <c r="R23" s="15"/>
      <c r="S23" s="6"/>
      <c r="T23" s="6"/>
      <c r="U23" s="6"/>
      <c r="V23" s="6"/>
      <c r="W23" s="6"/>
      <c r="X23" s="15">
        <f t="shared" si="6"/>
        <v>0</v>
      </c>
      <c r="Y23" s="15"/>
      <c r="Z23" s="15"/>
    </row>
    <row r="24" spans="1:26" ht="30" customHeight="1" thickBot="1" x14ac:dyDescent="0.3">
      <c r="A24" s="21" t="s">
        <v>7</v>
      </c>
      <c r="B24" s="7" t="s">
        <v>37</v>
      </c>
      <c r="C24" s="6" t="s">
        <v>36</v>
      </c>
      <c r="D24" s="6" t="s">
        <v>34</v>
      </c>
      <c r="E24" s="20">
        <v>211</v>
      </c>
      <c r="F24" s="4">
        <v>46310.25</v>
      </c>
      <c r="G24" s="4"/>
      <c r="H24" s="4"/>
      <c r="I24" s="4"/>
      <c r="J24" s="4"/>
      <c r="K24" s="4"/>
      <c r="L24" s="6"/>
      <c r="M24" s="15"/>
      <c r="N24" s="6"/>
      <c r="O24" s="6"/>
      <c r="P24" s="6">
        <v>0</v>
      </c>
      <c r="Q24" s="6">
        <f t="shared" si="4"/>
        <v>0</v>
      </c>
      <c r="R24" s="15"/>
      <c r="S24" s="6"/>
      <c r="T24" s="6"/>
      <c r="U24" s="6"/>
      <c r="V24" s="6"/>
      <c r="W24" s="6"/>
      <c r="X24" s="15">
        <f t="shared" si="6"/>
        <v>0</v>
      </c>
      <c r="Y24" s="15"/>
      <c r="Z24" s="15"/>
    </row>
    <row r="25" spans="1:26" ht="30" customHeight="1" thickBot="1" x14ac:dyDescent="0.3">
      <c r="A25" s="21" t="s">
        <v>7</v>
      </c>
      <c r="B25" s="7" t="s">
        <v>55</v>
      </c>
      <c r="C25" s="6" t="s">
        <v>12</v>
      </c>
      <c r="D25" s="6" t="s">
        <v>13</v>
      </c>
      <c r="E25" s="20">
        <v>214</v>
      </c>
      <c r="F25" s="4">
        <v>46311.25</v>
      </c>
      <c r="G25" s="4"/>
      <c r="H25" s="4"/>
      <c r="I25" s="4"/>
      <c r="J25" s="4"/>
      <c r="K25" s="4"/>
      <c r="L25" s="6"/>
      <c r="M25" s="15"/>
      <c r="N25" s="6"/>
      <c r="O25" s="6"/>
      <c r="P25" s="6">
        <v>0</v>
      </c>
      <c r="Q25" s="6">
        <f t="shared" si="4"/>
        <v>0</v>
      </c>
      <c r="R25" s="15"/>
      <c r="S25" s="6"/>
      <c r="T25" s="6"/>
      <c r="U25" s="6"/>
      <c r="V25" s="6"/>
      <c r="W25" s="6"/>
      <c r="X25" s="15">
        <f t="shared" si="6"/>
        <v>0</v>
      </c>
      <c r="Y25" s="15"/>
      <c r="Z25" s="15"/>
    </row>
    <row r="26" spans="1:26" ht="30" customHeight="1" thickBot="1" x14ac:dyDescent="0.3">
      <c r="A26" s="21" t="s">
        <v>7</v>
      </c>
      <c r="B26" s="7" t="s">
        <v>43</v>
      </c>
      <c r="C26" s="6" t="s">
        <v>12</v>
      </c>
      <c r="D26" s="6" t="s">
        <v>13</v>
      </c>
      <c r="E26" s="20">
        <v>214</v>
      </c>
      <c r="F26" s="4">
        <v>46311.25</v>
      </c>
      <c r="G26" s="4"/>
      <c r="H26" s="4"/>
      <c r="I26" s="4"/>
      <c r="J26" s="4"/>
      <c r="K26" s="4"/>
      <c r="L26" s="6"/>
      <c r="M26" s="15"/>
      <c r="N26" s="6"/>
      <c r="O26" s="6"/>
      <c r="P26" s="6">
        <v>0</v>
      </c>
      <c r="Q26" s="6">
        <f t="shared" si="4"/>
        <v>0</v>
      </c>
      <c r="R26" s="15"/>
      <c r="S26" s="6"/>
      <c r="T26" s="6"/>
      <c r="U26" s="6"/>
      <c r="V26" s="6"/>
      <c r="W26" s="6"/>
      <c r="X26" s="15">
        <f t="shared" si="6"/>
        <v>0</v>
      </c>
      <c r="Y26" s="15"/>
      <c r="Z26" s="15"/>
    </row>
    <row r="27" spans="1:26" ht="30" customHeight="1" thickBot="1" x14ac:dyDescent="0.3">
      <c r="A27" s="21" t="s">
        <v>7</v>
      </c>
      <c r="B27" s="7" t="s">
        <v>52</v>
      </c>
      <c r="C27" s="6" t="s">
        <v>32</v>
      </c>
      <c r="D27" s="6" t="s">
        <v>33</v>
      </c>
      <c r="E27" s="15">
        <v>134</v>
      </c>
      <c r="F27" s="4">
        <v>46311.25</v>
      </c>
      <c r="G27" s="4"/>
      <c r="H27" s="4"/>
      <c r="I27" s="4"/>
      <c r="J27" s="4"/>
      <c r="K27" s="4"/>
      <c r="L27" s="6"/>
      <c r="M27" s="15"/>
      <c r="N27" s="6"/>
      <c r="O27" s="6"/>
      <c r="P27" s="6">
        <v>0</v>
      </c>
      <c r="Q27" s="6">
        <f t="shared" si="4"/>
        <v>0</v>
      </c>
      <c r="R27" s="15"/>
      <c r="S27" s="6"/>
      <c r="T27" s="6"/>
      <c r="U27" s="6"/>
      <c r="V27" s="6"/>
      <c r="W27" s="6"/>
      <c r="X27" s="15">
        <f t="shared" si="6"/>
        <v>0</v>
      </c>
      <c r="Y27" s="15"/>
      <c r="Z27" s="15"/>
    </row>
    <row r="28" spans="1:26" ht="30" customHeight="1" thickBot="1" x14ac:dyDescent="0.3">
      <c r="A28" s="21" t="s">
        <v>7</v>
      </c>
      <c r="B28" s="7" t="s">
        <v>39</v>
      </c>
      <c r="C28" s="6" t="s">
        <v>12</v>
      </c>
      <c r="D28" s="6" t="s">
        <v>13</v>
      </c>
      <c r="E28" s="20">
        <v>212</v>
      </c>
      <c r="F28" s="4">
        <v>46312.25</v>
      </c>
      <c r="G28" s="4"/>
      <c r="H28" s="4"/>
      <c r="I28" s="4"/>
      <c r="J28" s="4"/>
      <c r="K28" s="4"/>
      <c r="L28" s="6"/>
      <c r="M28" s="15"/>
      <c r="N28" s="6"/>
      <c r="O28" s="6"/>
      <c r="P28" s="6">
        <v>0</v>
      </c>
      <c r="Q28" s="6">
        <f t="shared" si="4"/>
        <v>0</v>
      </c>
      <c r="R28" s="15"/>
      <c r="S28" s="6"/>
      <c r="T28" s="6"/>
      <c r="U28" s="6"/>
      <c r="V28" s="6"/>
      <c r="W28" s="6"/>
      <c r="X28" s="15">
        <f t="shared" si="6"/>
        <v>0</v>
      </c>
      <c r="Y28" s="15"/>
      <c r="Z28" s="15"/>
    </row>
    <row r="29" spans="1:26" ht="30" customHeight="1" thickBot="1" x14ac:dyDescent="0.3">
      <c r="A29" s="21" t="s">
        <v>7</v>
      </c>
      <c r="B29" s="7" t="s">
        <v>72</v>
      </c>
      <c r="C29" s="6" t="s">
        <v>28</v>
      </c>
      <c r="D29" s="6" t="s">
        <v>29</v>
      </c>
      <c r="E29" s="20">
        <v>257</v>
      </c>
      <c r="F29" s="4">
        <v>46313.435416666667</v>
      </c>
      <c r="G29" s="4"/>
      <c r="H29" s="4"/>
      <c r="I29" s="4"/>
      <c r="J29" s="4"/>
      <c r="K29" s="4"/>
      <c r="L29" s="6"/>
      <c r="M29" s="15"/>
      <c r="N29" s="6"/>
      <c r="O29" s="6"/>
      <c r="P29" s="6">
        <v>0</v>
      </c>
      <c r="Q29" s="6">
        <f t="shared" si="4"/>
        <v>0</v>
      </c>
      <c r="R29" s="15"/>
      <c r="S29" s="6"/>
      <c r="T29" s="6"/>
      <c r="U29" s="6"/>
      <c r="V29" s="6"/>
      <c r="W29" s="6"/>
      <c r="X29" s="15">
        <f t="shared" si="6"/>
        <v>0</v>
      </c>
      <c r="Y29" s="15"/>
      <c r="Z29" s="15"/>
    </row>
    <row r="30" spans="1:26" ht="30" customHeight="1" thickBot="1" x14ac:dyDescent="0.3">
      <c r="A30" s="21" t="s">
        <v>7</v>
      </c>
      <c r="B30" s="7" t="s">
        <v>73</v>
      </c>
      <c r="C30" s="6" t="s">
        <v>28</v>
      </c>
      <c r="D30" s="6" t="s">
        <v>29</v>
      </c>
      <c r="E30" s="15">
        <v>211</v>
      </c>
      <c r="F30" s="4">
        <v>46313.510416666664</v>
      </c>
      <c r="G30" s="4"/>
      <c r="H30" s="4"/>
      <c r="I30" s="4"/>
      <c r="J30" s="4"/>
      <c r="K30" s="4"/>
      <c r="L30" s="6"/>
      <c r="M30" s="15"/>
      <c r="N30" s="6"/>
      <c r="O30" s="6"/>
      <c r="P30" s="6">
        <v>0</v>
      </c>
      <c r="Q30" s="6">
        <f t="shared" si="4"/>
        <v>0</v>
      </c>
      <c r="R30" s="15"/>
      <c r="S30" s="6"/>
      <c r="T30" s="6"/>
      <c r="U30" s="6"/>
      <c r="V30" s="6"/>
      <c r="W30" s="6"/>
      <c r="X30" s="15">
        <f t="shared" si="6"/>
        <v>0</v>
      </c>
      <c r="Y30" s="15"/>
      <c r="Z30" s="15"/>
    </row>
    <row r="31" spans="1:26" ht="30" customHeight="1" thickBot="1" x14ac:dyDescent="0.3">
      <c r="A31" s="21" t="s">
        <v>7</v>
      </c>
      <c r="B31" s="7" t="s">
        <v>53</v>
      </c>
      <c r="C31" s="6" t="s">
        <v>36</v>
      </c>
      <c r="D31" s="6" t="s">
        <v>34</v>
      </c>
      <c r="E31" s="20">
        <v>209</v>
      </c>
      <c r="F31" s="4">
        <v>46317.25</v>
      </c>
      <c r="G31" s="4"/>
      <c r="H31" s="4"/>
      <c r="I31" s="4"/>
      <c r="J31" s="4"/>
      <c r="K31" s="4"/>
      <c r="L31" s="6"/>
      <c r="M31" s="15"/>
      <c r="N31" s="6"/>
      <c r="O31" s="6"/>
      <c r="P31" s="6">
        <v>0</v>
      </c>
      <c r="Q31" s="6">
        <f t="shared" si="4"/>
        <v>0</v>
      </c>
      <c r="R31" s="15"/>
      <c r="S31" s="6"/>
      <c r="T31" s="6"/>
      <c r="U31" s="6"/>
      <c r="V31" s="6"/>
      <c r="W31" s="6"/>
      <c r="X31" s="15">
        <f t="shared" si="6"/>
        <v>0</v>
      </c>
      <c r="Y31" s="15"/>
      <c r="Z31" s="15"/>
    </row>
    <row r="32" spans="1:26" ht="30" customHeight="1" thickBot="1" x14ac:dyDescent="0.3">
      <c r="A32" s="21" t="s">
        <v>7</v>
      </c>
      <c r="B32" s="7" t="s">
        <v>44</v>
      </c>
      <c r="C32" s="6" t="s">
        <v>12</v>
      </c>
      <c r="D32" s="6" t="s">
        <v>13</v>
      </c>
      <c r="E32" s="20">
        <v>236</v>
      </c>
      <c r="F32" s="4">
        <v>46319.25</v>
      </c>
      <c r="G32" s="4"/>
      <c r="H32" s="4"/>
      <c r="I32" s="4"/>
      <c r="J32" s="4"/>
      <c r="K32" s="4"/>
      <c r="L32" s="6"/>
      <c r="M32" s="15"/>
      <c r="N32" s="6"/>
      <c r="O32" s="6"/>
      <c r="P32" s="6">
        <v>0</v>
      </c>
      <c r="Q32" s="6">
        <f t="shared" si="4"/>
        <v>0</v>
      </c>
      <c r="R32" s="15"/>
      <c r="S32" s="6"/>
      <c r="T32" s="6"/>
      <c r="U32" s="6"/>
      <c r="V32" s="6"/>
      <c r="W32" s="6"/>
      <c r="X32" s="15">
        <f t="shared" si="6"/>
        <v>0</v>
      </c>
      <c r="Y32" s="15"/>
      <c r="Z32" s="15"/>
    </row>
    <row r="33" spans="1:26" ht="30" customHeight="1" thickBot="1" x14ac:dyDescent="0.3">
      <c r="A33" s="21" t="s">
        <v>7</v>
      </c>
      <c r="B33" s="7" t="s">
        <v>54</v>
      </c>
      <c r="C33" s="6" t="s">
        <v>36</v>
      </c>
      <c r="D33" s="6" t="s">
        <v>34</v>
      </c>
      <c r="E33" s="15">
        <v>199</v>
      </c>
      <c r="F33" s="4">
        <v>46324.25</v>
      </c>
      <c r="G33" s="4"/>
      <c r="H33" s="4"/>
      <c r="I33" s="4"/>
      <c r="J33" s="4"/>
      <c r="K33" s="4"/>
      <c r="L33" s="6"/>
      <c r="M33" s="15"/>
      <c r="N33" s="6"/>
      <c r="O33" s="6"/>
      <c r="P33" s="6">
        <v>0</v>
      </c>
      <c r="Q33" s="6">
        <f t="shared" si="4"/>
        <v>0</v>
      </c>
      <c r="R33" s="15"/>
      <c r="S33" s="6"/>
      <c r="T33" s="6"/>
      <c r="U33" s="6"/>
      <c r="V33" s="6"/>
      <c r="W33" s="6"/>
      <c r="X33" s="15">
        <f t="shared" si="6"/>
        <v>0</v>
      </c>
      <c r="Y33" s="15"/>
      <c r="Z33" s="15"/>
    </row>
    <row r="34" spans="1:26" ht="30" customHeight="1" thickBot="1" x14ac:dyDescent="0.3">
      <c r="A34" s="21" t="s">
        <v>7</v>
      </c>
      <c r="B34" s="7" t="s">
        <v>67</v>
      </c>
      <c r="C34" s="6" t="s">
        <v>12</v>
      </c>
      <c r="D34" s="6" t="s">
        <v>13</v>
      </c>
      <c r="E34" s="20">
        <v>210</v>
      </c>
      <c r="F34" s="4">
        <v>46326.25</v>
      </c>
      <c r="G34" s="4"/>
      <c r="H34" s="4"/>
      <c r="I34" s="4"/>
      <c r="J34" s="4"/>
      <c r="K34" s="4"/>
      <c r="L34" s="6"/>
      <c r="M34" s="15"/>
      <c r="N34" s="6"/>
      <c r="O34" s="6"/>
      <c r="P34" s="6">
        <v>0</v>
      </c>
      <c r="Q34" s="6">
        <f t="shared" si="4"/>
        <v>0</v>
      </c>
      <c r="R34" s="15"/>
      <c r="S34" s="6"/>
      <c r="T34" s="6"/>
      <c r="U34" s="6"/>
      <c r="V34" s="6"/>
      <c r="W34" s="6"/>
      <c r="X34" s="15">
        <f t="shared" si="6"/>
        <v>0</v>
      </c>
      <c r="Y34" s="15"/>
      <c r="Z34" s="15"/>
    </row>
    <row r="35" spans="1:26" ht="30" customHeight="1" thickBot="1" x14ac:dyDescent="0.3">
      <c r="A35" s="21" t="s">
        <v>7</v>
      </c>
      <c r="B35" s="7" t="s">
        <v>68</v>
      </c>
      <c r="C35" s="6" t="s">
        <v>12</v>
      </c>
      <c r="D35" s="6" t="s">
        <v>13</v>
      </c>
      <c r="E35" s="20">
        <v>210</v>
      </c>
      <c r="F35" s="4">
        <v>46327.25</v>
      </c>
      <c r="G35" s="4"/>
      <c r="H35" s="4"/>
      <c r="I35" s="4"/>
      <c r="J35" s="4"/>
      <c r="K35" s="4"/>
      <c r="L35" s="6"/>
      <c r="M35" s="15"/>
      <c r="N35" s="6"/>
      <c r="O35" s="6"/>
      <c r="P35" s="6">
        <v>0</v>
      </c>
      <c r="Q35" s="6">
        <f t="shared" si="4"/>
        <v>0</v>
      </c>
      <c r="R35" s="15"/>
      <c r="S35" s="6"/>
      <c r="T35" s="6"/>
      <c r="U35" s="6"/>
      <c r="V35" s="6"/>
      <c r="W35" s="6"/>
      <c r="X35" s="15">
        <f t="shared" si="6"/>
        <v>0</v>
      </c>
      <c r="Y35" s="15"/>
      <c r="Z35" s="15"/>
    </row>
    <row r="36" spans="1:26" ht="30" customHeight="1" thickBot="1" x14ac:dyDescent="0.3">
      <c r="A36" s="21" t="s">
        <v>7</v>
      </c>
      <c r="B36" s="7" t="s">
        <v>69</v>
      </c>
      <c r="C36" s="6" t="s">
        <v>12</v>
      </c>
      <c r="D36" s="6" t="s">
        <v>13</v>
      </c>
      <c r="E36" s="20">
        <v>249</v>
      </c>
      <c r="F36" s="4">
        <v>46328.25</v>
      </c>
      <c r="G36" s="4"/>
      <c r="H36" s="4"/>
      <c r="I36" s="4"/>
      <c r="J36" s="4"/>
      <c r="K36" s="4"/>
      <c r="L36" s="6"/>
      <c r="M36" s="15"/>
      <c r="N36" s="6"/>
      <c r="O36" s="6"/>
      <c r="P36" s="6">
        <v>0</v>
      </c>
      <c r="Q36" s="6">
        <f t="shared" si="4"/>
        <v>0</v>
      </c>
      <c r="R36" s="15"/>
      <c r="S36" s="6"/>
      <c r="T36" s="6"/>
      <c r="U36" s="6"/>
      <c r="V36" s="6"/>
      <c r="W36" s="6"/>
      <c r="X36" s="15">
        <f t="shared" si="6"/>
        <v>0</v>
      </c>
      <c r="Y36" s="15"/>
      <c r="Z36" s="15"/>
    </row>
  </sheetData>
  <sortState xmlns:xlrd2="http://schemas.microsoft.com/office/spreadsheetml/2017/richdata2" ref="A11:Z36">
    <sortCondition ref="F11:F36"/>
  </sortState>
  <customSheetViews>
    <customSheetView guid="{6E32E113-4D7F-4042-8E31-473A0ED915F4}" showPageBreaks="1" hiddenRows="1">
      <selection activeCell="B1" sqref="B1:F1048576"/>
      <pageMargins left="0.23622047244094491" right="0.19685039370078741" top="0.15748031496062992" bottom="0.15748031496062992" header="0.15748031496062992" footer="0.15748031496062992"/>
      <pageSetup paperSize="9" scale="61" fitToWidth="0" fitToHeight="0" orientation="landscape" r:id="rId1"/>
    </customSheetView>
  </customSheetViews>
  <mergeCells count="24">
    <mergeCell ref="C6:C7"/>
    <mergeCell ref="F6:F7"/>
    <mergeCell ref="G6:G7"/>
    <mergeCell ref="L6:P6"/>
    <mergeCell ref="S6:W6"/>
    <mergeCell ref="R6:R7"/>
    <mergeCell ref="H6:H7"/>
    <mergeCell ref="Q6:Q7"/>
    <mergeCell ref="I6:I7"/>
    <mergeCell ref="J6:J7"/>
    <mergeCell ref="K6:K7"/>
    <mergeCell ref="A1:A3"/>
    <mergeCell ref="C1:X3"/>
    <mergeCell ref="A4:Z4"/>
    <mergeCell ref="Y3:Z3"/>
    <mergeCell ref="Y2:Z2"/>
    <mergeCell ref="A5:E5"/>
    <mergeCell ref="L5:Z5"/>
    <mergeCell ref="Y6:Z6"/>
    <mergeCell ref="D6:D7"/>
    <mergeCell ref="B6:B7"/>
    <mergeCell ref="X6:X7"/>
    <mergeCell ref="A6:A7"/>
    <mergeCell ref="E6:E7"/>
  </mergeCells>
  <phoneticPr fontId="9" type="noConversion"/>
  <pageMargins left="0.25" right="0.25" top="0.75" bottom="0.75" header="0.3" footer="0.3"/>
  <pageSetup paperSize="9" scale="61" fitToWidth="0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secprogdtrc</dc:creator>
  <cp:lastModifiedBy>sectionprogrammation</cp:lastModifiedBy>
  <cp:lastPrinted>2026-10-08T22:24:33Z</cp:lastPrinted>
  <dcterms:created xsi:type="dcterms:W3CDTF">2017-11-13T17:58:30Z</dcterms:created>
  <dcterms:modified xsi:type="dcterms:W3CDTF">2026-10-09T22:21:14Z</dcterms:modified>
</cp:coreProperties>
</file>